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DE8948FE-51DD-A143-986B-0397CFC0F886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<sst xmlns="http://schemas.openxmlformats.org/spreadsheetml/2006/main" count="98" uniqueCount="83">
  <si>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</si>
  <si>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</si>
  <si>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</si>
  <si>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</si>
  <si>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</si>
  <si>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</si>
  <si>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</si>
  <si>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</si>
  <si>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</si>
  <si>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</si>
  <si>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</si>
  <si>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</si>
  <si>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</si>
  <si>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</si>
  <si>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</si>
  <si>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</si>
  <si>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</si>
  <si>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</si>
  <si>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</si>
  <si>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</si>
  <si>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</si>
  <si>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</si>
  <si>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</si>
  <si>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</si>
  <si>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</si>
  <si>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</si>
  <si>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</si>
  <si>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</si>
  <si>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</si>
  <si>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</si>
  <si>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</si>
  <si>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</si>
  <si>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</si>
  <si>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</si>
  <si>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</si>
  <si>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</si>
  <si>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</si>
  <si>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</si>
  <si>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</si>
  <si>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</si>
  <si>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</si>
  <si>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</si>
  <si>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</si>
  <si>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</si>
  <si>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</si>
  <si>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</si>
  <si>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</si>
  <si>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ComSt handbook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</si>
  <si>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</si>
  <si>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</si>
  <si>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</si>
  <si>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</si>
  <si>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</si>
  <si>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</si>
  <si>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</si>
  <si>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</si>
  <si>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</si>
  <si>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</si>
  <si>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</si>
  <si>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</si>
  <si>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</si>
  <si>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</si>
  <si>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</si>
  <si>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Sew or collate pages and mark the writing space. </t>
  </si>
  <si>
    <t xml:space="preserve">Record in-depth observations and questions about the production of 1 manuscript or printed book. </t>
  </si>
  <si>
    <t>Mix your own ink and write on your sample manuscript with your own utensil.</t>
  </si>
  <si>
    <t>Add paratexts of different types to your sample manuscript.</t>
  </si>
  <si>
    <t>Present the manuscript you created, explaining the decisions you made about its production and the challenges you faced.</t>
  </si>
  <si>
    <t>Collect your notes and questions from the course.</t>
  </si>
  <si>
    <t>book-binding-front.jpg</t>
  </si>
  <si>
    <t>bible-gutenberg.jpg</t>
  </si>
  <si>
    <t>parchment-bcuf-L2057_089v.jpg</t>
  </si>
  <si>
    <t>papyrus-growing.jpg</t>
  </si>
  <si>
    <t>interlinear-sbb-diez-A-oct-160-f002r.jpg</t>
  </si>
  <si>
    <t>book-open-pages-closeup.jpg</t>
  </si>
  <si>
    <t>pen-qalam.jpg</t>
  </si>
  <si>
    <t>rubrics-sbb-ms-or-quart-887-p001.jpg</t>
  </si>
  <si>
    <t>bible-hebrew.jpg</t>
  </si>
  <si>
    <t>books-around-door.jpg</t>
  </si>
  <si>
    <t>BNF-arabe-14-f002v-003r.jpg</t>
  </si>
  <si>
    <t>[gruendlerIntroduction2020, vallejomoreuBooksSkinDetectives2023]</t>
  </si>
  <si>
    <t>businessinsiderHowAnimalHides2021, businessinsiderHowJudaismsMost2024, maniaci11MaterialsTools2015</t>
  </si>
  <si>
    <t>businessinsiderMeetLastPapyrus2021, gibsonPapermakingCottonPulp2025, robertc.williamsmuseumofpapermakingHistoryPapermakingWorld, universityofiowagraduatecollegeChanceryPapermaking201620002016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</si>
</sst>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9" fillId="2" borderId="0" applyNumberFormat="0" applyBorder="0" applyAlignment="0" applyProtection="0"/>
  </cellStyleXfs>
  <cellXfs count="24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8" fillId="0" borderId="1" xfId="0" applyFont="1" applyBorder="1"/>
    <xf numFmtId="0" fontId="4" fillId="0" borderId="0" xfId="0" applyFont="1"/>
    <xf numFmtId="0" fontId="0" fillId="0" borderId="0" xfId="0" applyAlignment="1">
      <alignment wrapText="1"/>
    </xf>
    <xf numFmtId="0" fontId="9" fillId="2" borderId="0" xfId="1"/>
    <xf numFmtId="3" fontId="9" fillId="2" borderId="1" xfId="1" applyNumberFormat="1" applyBorder="1" applyAlignment="1">
      <alignment horizontal="right"/>
    </xf>
    <xf numFmtId="166" fontId="9" fillId="2" borderId="1" xfId="1" applyNumberFormat="1" applyBorder="1" applyAlignment="1">
      <alignment horizontal="left"/>
    </xf>
    <xf numFmtId="164" fontId="9" fillId="2" borderId="1" xfId="1" applyNumberFormat="1" applyBorder="1" applyAlignment="1">
      <alignment horizontal="left"/>
    </xf>
    <xf numFmtId="165" fontId="9" fillId="2" borderId="0" xfId="1" applyNumberFormat="1"/>
    <xf numFmtId="0" fontId="9" fillId="2" borderId="0" xfId="1" applyAlignment="1">
      <alignment wrapText="1"/>
    </xf>
    <xf numFmtId="164" fontId="8" fillId="0" borderId="1" xfId="0" applyNumberFormat="1" applyFont="1" applyBorder="1" applyAlignment="1">
      <alignment horizontal="left"/>
    </xf>
    <xf numFmtId="164" fontId="9" fillId="3" borderId="1" xfId="0" applyNumberFormat="1" applyFont="1" applyFill="1" applyBorder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B1" zoomScale="142" zoomScaleNormal="140" workbookViewId="0">
      <pane xSplit="6" ySplit="1" topLeftCell="L2" activePane="bottomRight" state="frozen"/>
      <selection activeCell="B1" sqref="B1"/>
      <selection pane="topRight" activeCell="H1" sqref="H1"/>
      <selection pane="bottomLeft" activeCell="B2" sqref="B2"/>
      <selection pane="bottomRight" activeCell="M8" sqref="M8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IF(EXACT(E2,F2),,": " &amp; F2)</f>
        <v>1. Introduction</v>
      </c>
      <c r="J2" s="3">
        <f t="shared" ref="J2:J15" si="1">B2</f>
        <v>1</v>
      </c>
      <c r="K2" t="s">
        <v>79</v>
      </c>
      <c r="L2" t="str">
        <f>SUBSTITUTE(SUBSTITUTE(SUBSTITUTE(SUBSTITUTE(B2 &amp; ". " &amp; F2,".",""),"&amp;","")," ","-"),"--","-")</f>
        <v>1-Introduction</v>
      </c>
      <c r="N2" s="12" t="s">
        <v>48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I3" s="13" t="str">
        <f t="shared" ref="I3:I15" si="4">B3 &amp; ". " &amp; E3 &amp; IF(EXACT(E3,F3),,": " &amp; F3)</f>
        <v>. Labor Day (no class)</v>
      </c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si="4"/>
        <v>2. How books are made</v>
      </c>
      <c r="J4" s="3">
        <f t="shared" si="1"/>
        <v>2</v>
      </c>
      <c r="K4" t="s">
        <v>69</v>
      </c>
      <c r="L4" t="str">
        <f t="shared" ref="L4:L15" si="5">SUBSTITUTE(SUBSTITUTE(SUBSTITUTE(SUBSTITUTE(B4 &amp; ". " &amp; F4,".",""),"&amp;","")," ","-"),"--","-")</f>
        <v>2-How-books-are-made</v>
      </c>
      <c r="M4" s="22" t="s">
        <v>80</v>
      </c>
      <c r="N4" t="s">
        <v>51</v>
      </c>
      <c r="O4" t="s">
        <v>59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33</v>
      </c>
      <c r="F5" s="4" t="s">
        <v>33</v>
      </c>
      <c r="G5" t="s">
        <v>36</v>
      </c>
      <c r="H5" s="4" t="s">
        <v>42</v>
      </c>
      <c r="I5" t="str">
        <f t="shared" si="4"/>
        <v>3. Parchment as writing support</v>
      </c>
      <c r="J5" s="3">
        <f t="shared" si="1"/>
        <v>3</v>
      </c>
      <c r="K5" t="s">
        <v>71</v>
      </c>
      <c r="L5" t="str">
        <f t="shared" si="5"/>
        <v>3-Parchment-as-writing-support</v>
      </c>
      <c r="M5" s="11"/>
      <c r="N5" s="12" t="s">
        <v>54</v>
      </c>
      <c r="O5" t="s">
        <v>61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29</v>
      </c>
      <c r="F6" s="4" t="s">
        <v>29</v>
      </c>
      <c r="H6" s="4"/>
      <c r="I6" t="str">
        <f t="shared" si="4"/>
        <v>4. Excursion</v>
      </c>
      <c r="J6" s="3">
        <f t="shared" si="1"/>
        <v>4</v>
      </c>
      <c r="K6" t="s">
        <v>70</v>
      </c>
      <c r="L6" t="str">
        <f t="shared" si="5"/>
        <v>4-Excursion</v>
      </c>
      <c r="M6" s="23" t="s">
        <v>81</v>
      </c>
      <c r="N6" t="s">
        <v>49</v>
      </c>
      <c r="O6" t="s">
        <v>60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I7" s="13" t="str">
        <f t="shared" si="4"/>
        <v>. Ascension (no class)</v>
      </c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</v>
      </c>
      <c r="J8" s="3">
        <f t="shared" si="1"/>
        <v>5</v>
      </c>
      <c r="K8" t="s">
        <v>72</v>
      </c>
      <c r="L8" t="str">
        <f t="shared" si="5"/>
        <v>5-Papyrus-paper-as-writing-support</v>
      </c>
      <c r="M8" s="21" t="s">
        <v>82</v>
      </c>
      <c r="N8" s="12" t="s">
        <v>50</v>
      </c>
      <c r="O8" t="s">
        <v>62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24</v>
      </c>
      <c r="F9" s="4" t="s">
        <v>24</v>
      </c>
      <c r="G9" t="s">
        <v>35</v>
      </c>
      <c r="H9" t="s">
        <v>46</v>
      </c>
      <c r="I9" t="str">
        <f t="shared" si="4"/>
        <v>6. Binding &amp; Layout</v>
      </c>
      <c r="J9" s="3">
        <f t="shared" si="1"/>
        <v>6</v>
      </c>
      <c r="K9" t="s">
        <v>73</v>
      </c>
      <c r="L9" t="str">
        <f t="shared" si="5"/>
        <v>6-Binding-Layout</v>
      </c>
      <c r="M9" s="22"/>
      <c r="N9" s="12" t="s">
        <v>55</v>
      </c>
      <c r="O9" t="s">
        <v>63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I10" s="13" t="str">
        <f t="shared" si="4"/>
        <v>. Corpus Christi (no class)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29</v>
      </c>
      <c r="F11" s="4" t="s">
        <v>29</v>
      </c>
      <c r="I11" t="str">
        <f t="shared" si="4"/>
        <v>7. Excursion</v>
      </c>
      <c r="J11" s="3">
        <f t="shared" si="1"/>
        <v>7</v>
      </c>
      <c r="K11" t="s">
        <v>74</v>
      </c>
      <c r="L11" t="str">
        <f t="shared" si="5"/>
        <v>7-Excursion</v>
      </c>
      <c r="M11" s="11"/>
      <c r="N11" t="s">
        <v>52</v>
      </c>
      <c r="O11" t="s">
        <v>64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25</v>
      </c>
      <c r="F12" s="4" t="s">
        <v>25</v>
      </c>
      <c r="G12" t="s">
        <v>39</v>
      </c>
      <c r="H12" t="s">
        <v>44</v>
      </c>
      <c r="I12" t="str">
        <f t="shared" si="4"/>
        <v>8. Inks &amp; Utensils</v>
      </c>
      <c r="J12" s="3">
        <f t="shared" si="1"/>
        <v>8</v>
      </c>
      <c r="K12" t="s">
        <v>75</v>
      </c>
      <c r="L12" t="str">
        <f t="shared" si="5"/>
        <v>8-Inks-Utensils</v>
      </c>
      <c r="M12" s="21" t="s">
        <v>47</v>
      </c>
      <c r="N12" t="s">
        <v>53</v>
      </c>
      <c r="O12" t="s">
        <v>65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</v>
      </c>
      <c r="J13" s="3">
        <f t="shared" si="1"/>
        <v>9</v>
      </c>
      <c r="K13" t="s">
        <v>76</v>
      </c>
      <c r="L13" t="str">
        <f t="shared" si="5"/>
        <v>9-Paratexts</v>
      </c>
      <c r="M13" s="21"/>
      <c r="N13" t="s">
        <v>56</v>
      </c>
      <c r="O13" t="s">
        <v>66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>10. Presentations</v>
      </c>
      <c r="J14" s="3">
        <f t="shared" si="1"/>
        <v>10</v>
      </c>
      <c r="K14" s="10" t="s">
        <v>77</v>
      </c>
      <c r="L14" t="str">
        <f t="shared" si="5"/>
        <v>10-Presentations</v>
      </c>
      <c r="M14" s="11"/>
      <c r="N14" t="s">
        <v>58</v>
      </c>
      <c r="O14" t="s">
        <v>67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>11. Review</v>
      </c>
      <c r="J15" s="3">
        <f t="shared" si="1"/>
        <v>11</v>
      </c>
      <c r="K15" t="s">
        <v>78</v>
      </c>
      <c r="L15" t="str">
        <f t="shared" si="5"/>
        <v>11-Review</v>
      </c>
      <c r="M15" s="9"/>
      <c r="N15" t="s">
        <v>57</v>
      </c>
      <c r="O15" t="s">
        <v>68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14" x14ac:dyDescent="0.2">
      <c r="E17" s="4"/>
    </row>
    <row r="18" spans="5:14" x14ac:dyDescent="0.2">
      <c r="E18" s="19"/>
      <c r="F18" s="4"/>
      <c r="N18" s="12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2025-05-29T07:44:04Z</dcterms:modified>
</cp:coreProperties>
</file>
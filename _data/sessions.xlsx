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nathan/Github/jirelations/25scripture/_data/"/>
    </mc:Choice>
  </mc:AlternateContent>
  <xr:revisionPtr revIDLastSave="0" documentId="13_ncr:1_{CFA00E40-1A26-4647-9AAC-AEF819BE5C78}" xr6:coauthVersionLast="47" xr6:coauthVersionMax="47" xr10:uidLastSave="{00000000-0000-0000-0000-000000000000}"/>
  <bookViews>
    <workbookView xWindow="4680" yWindow="500" windowWidth="33720" windowHeight="21100" xr2:uid="{00000000-000D-0000-FFFF-FFFF00000000}"/>
  </bookViews>
  <sheets>
    <sheet name="se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P2" i="1"/>
  <c r="P4" i="1"/>
  <c r="Q4" i="1" s="1"/>
  <c r="P5" i="1"/>
  <c r="Q5" i="1" s="1"/>
  <c r="P6" i="1"/>
  <c r="Q6" i="1" s="1"/>
  <c r="P8" i="1"/>
  <c r="Q8" i="1" s="1"/>
  <c r="P9" i="1"/>
  <c r="Q9" i="1" s="1"/>
  <c r="P11" i="1"/>
  <c r="Q11" i="1" s="1"/>
  <c r="P12" i="1"/>
  <c r="Q12" i="1" s="1"/>
  <c r="P13" i="1"/>
  <c r="P14" i="1"/>
  <c r="Q14" i="1" s="1"/>
  <c r="P15" i="1"/>
  <c r="Q15" i="1" s="1"/>
  <c r="J2" i="1"/>
  <c r="J4" i="1"/>
  <c r="J5" i="1"/>
  <c r="J6" i="1"/>
  <c r="J8" i="1"/>
  <c r="J9" i="1"/>
  <c r="J11" i="1"/>
  <c r="J12" i="1"/>
  <c r="J13" i="1"/>
  <c r="J14" i="1"/>
  <c r="J15" i="1"/>
  <c r="L4" i="1"/>
  <c r="L5" i="1"/>
  <c r="L6" i="1"/>
  <c r="L8" i="1"/>
  <c r="L9" i="1"/>
  <c r="L11" i="1"/>
  <c r="L12" i="1"/>
  <c r="L13" i="1"/>
  <c r="L14" i="1"/>
  <c r="L15" i="1"/>
  <c r="L2" i="1"/>
  <c r="Q13" i="1"/>
  <c r="Q2" i="1"/>
  <c r="D8" i="1" l="1"/>
  <c r="D6" i="1"/>
  <c r="D4" i="1"/>
  <c r="D9" i="1"/>
  <c r="D5" i="1"/>
  <c r="D14" i="1"/>
  <c r="D13" i="1"/>
  <c r="D15" i="1"/>
  <c r="D11" i="1"/>
  <c r="D12" i="1"/>
  <c r="D2" i="1"/>
</calcChain>
</file>

<file path=xl/sharedStrings.xml><?xml version="1.0" encoding="utf-8"?>
<sst xmlns="http://schemas.openxmlformats.org/spreadsheetml/2006/main" count="99" uniqueCount="84">
  <si>
    <t>blank</t>
  </si>
  <si>
    <t>session</t>
  </si>
  <si>
    <t>date</t>
  </si>
  <si>
    <t>filename</t>
  </si>
  <si>
    <t>unit</t>
  </si>
  <si>
    <t>topic</t>
  </si>
  <si>
    <t>title</t>
  </si>
  <si>
    <t>pad-slug</t>
  </si>
  <si>
    <t>image</t>
  </si>
  <si>
    <t>zotero-tag</t>
  </si>
  <si>
    <t>zotero-readings</t>
  </si>
  <si>
    <t>objective</t>
  </si>
  <si>
    <t>tags</t>
  </si>
  <si>
    <t>contents</t>
  </si>
  <si>
    <t>concepts</t>
  </si>
  <si>
    <t>long-topic</t>
  </si>
  <si>
    <t>Aufgabe</t>
  </si>
  <si>
    <t>2025-05-01-labor-day.md</t>
  </si>
  <si>
    <t>2025-05-29-ascension.md</t>
  </si>
  <si>
    <t>2025-06-19-corpus-christi.md</t>
  </si>
  <si>
    <t>Labor Day (no class)</t>
  </si>
  <si>
    <t>Ascension (no class)</t>
  </si>
  <si>
    <t>Corpus Christi (no class)</t>
  </si>
  <si>
    <t>Introduction</t>
  </si>
  <si>
    <t>Binding &amp; Layout</t>
  </si>
  <si>
    <t>Inks &amp; Utensils</t>
  </si>
  <si>
    <t>Paratexts</t>
  </si>
  <si>
    <t>Presentations</t>
  </si>
  <si>
    <t>Review</t>
  </si>
  <si>
    <t>Excursion</t>
  </si>
  <si>
    <t>Deconstructing books</t>
  </si>
  <si>
    <t>Adding headers, decorations, and annotations</t>
  </si>
  <si>
    <t>The physical side of scriptures</t>
  </si>
  <si>
    <t>Parchment as writing support</t>
  </si>
  <si>
    <t>Papyrus &amp; paper as writing support</t>
  </si>
  <si>
    <t>Arranging pages and spaces</t>
  </si>
  <si>
    <t>Preparing animal skins</t>
  </si>
  <si>
    <t>Preparing plant materials</t>
  </si>
  <si>
    <t>How books are made</t>
  </si>
  <si>
    <t>Mixing and writing</t>
  </si>
  <si>
    <t>materiality</t>
  </si>
  <si>
    <t>readership, usage, economic factors</t>
  </si>
  <si>
    <t>species, chemical preparation, physical preparation, hair vs. flesh side</t>
  </si>
  <si>
    <t>material types, thickness, binding agent, chain lines</t>
  </si>
  <si>
    <t>inks vs. pigments, carbon vs. metallic, pens vs. brushes</t>
  </si>
  <si>
    <t>hands, rubrics, incipits, explicits, annotations, vocalization</t>
  </si>
  <si>
    <t>quiring, quire and folio numbers, ruling, pricking, VisColl</t>
  </si>
  <si>
    <t>ComSt handbook, YT video</t>
  </si>
  <si>
    <t>ComST handbook?</t>
  </si>
  <si>
    <t>ComSt handbook</t>
  </si>
  <si>
    <t>1. Determine your own goals for the course.
2. Begin to consider the physical aspects involved in writing, transmitting, and reading scripture.</t>
  </si>
  <si>
    <t>Record examples of different kinds of book production.</t>
  </si>
  <si>
    <t>1. List the steps in the process of preparing papyrus or pulp for writing.
2. Compare the traits of parchment, papyrus, and paper.</t>
  </si>
  <si>
    <t>Ask fundamental questions regarding a book's production.</t>
  </si>
  <si>
    <t>Ask in-depth questions regarding a book's production.</t>
  </si>
  <si>
    <t>Compare types of inks and writing utensils and begin to identify the evidences of each.</t>
  </si>
  <si>
    <t>1. List the steps in the process of preparing animal skins for writing.
2. Consider the implications of parchment as a writing support.</t>
  </si>
  <si>
    <t>1. List several options for collating writing surfaces and formatting the page. 
2. Explain what these choices might indicate about a manuscript's production.</t>
  </si>
  <si>
    <t>Explain what paratexts may indicate about a manuscript's readership.</t>
  </si>
  <si>
    <t>Summarize and reflect what you've learned in the course.</t>
  </si>
  <si>
    <t>Apply what you've learned in the course to your own example.</t>
  </si>
  <si>
    <t>Explain the steps in making a book using a book you bring.</t>
  </si>
  <si>
    <t>Record the physical details of 3 manuscripts or printed books you find.</t>
  </si>
  <si>
    <t>Practice as many steps of parchment production as you can on your own material.</t>
  </si>
  <si>
    <t>Practice the steps of papyrus making or paper making using your own materials.</t>
  </si>
  <si>
    <t xml:space="preserve">Sew or collate pages and mark the writing space. </t>
  </si>
  <si>
    <t xml:space="preserve">Record in-depth observations and questions about the production of 1 manuscript or printed book. </t>
  </si>
  <si>
    <t>Mix your own ink and write on your sample manuscript with your own utensil.</t>
  </si>
  <si>
    <t>Add paratexts of different types to your sample manuscript.</t>
  </si>
  <si>
    <t>Present the manuscript you created, explaining the decisions you made about its production and the challenges you faced.</t>
  </si>
  <si>
    <t>Collect your notes and questions from the course.</t>
  </si>
  <si>
    <t>book-binding-front.jpg</t>
  </si>
  <si>
    <t>bible-gutenberg.jpg</t>
  </si>
  <si>
    <t>parchment-bcuf-L2057_089v.jpg</t>
  </si>
  <si>
    <t>papyrus-growing.jpg</t>
  </si>
  <si>
    <t>interlinear-sbb-diez-A-oct-160-f002r.jpg</t>
  </si>
  <si>
    <t>book-open-pages-closeup.jpg</t>
  </si>
  <si>
    <t>pen-qalam.jpg</t>
  </si>
  <si>
    <t>rubrics-sbb-ms-or-quart-887-p001.jpg</t>
  </si>
  <si>
    <t>bible-hebrew.jpg</t>
  </si>
  <si>
    <t>books-around-door.jpg</t>
  </si>
  <si>
    <t>BNF-arabe-14-f002v-003r.jpg</t>
  </si>
  <si>
    <t>[gruendlerIntroduction2020, vallejomoreuBooksSkinDetectives2023]</t>
  </si>
  <si>
    <t>businessinsiderHowAnimalHides2021, businessinsiderHowJudaismsMost2024, maniaci11MaterialsTools2015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</si>
</sst>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F800]dddd\,\ mmmm\ dd\,\ yyyy"/>
    <numFmt numFmtId="166" formatCode="dd\.mm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Trebuchet MS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2" borderId="0" applyNumberFormat="0" applyBorder="0" applyAlignment="0" applyProtection="0"/>
  </cellStyleXfs>
  <cellXfs count="24">
    <xf numFmtId="0" fontId="0" fillId="0" borderId="0" xfId="0"/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3" fontId="7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/>
    <xf numFmtId="166" fontId="7" fillId="0" borderId="1" xfId="0" applyNumberFormat="1" applyFont="1" applyBorder="1" applyAlignment="1">
      <alignment horizontal="left"/>
    </xf>
    <xf numFmtId="0" fontId="5" fillId="0" borderId="0" xfId="0" applyFont="1"/>
    <xf numFmtId="0" fontId="8" fillId="0" borderId="1" xfId="0" applyFont="1" applyBorder="1"/>
    <xf numFmtId="0" fontId="4" fillId="0" borderId="0" xfId="0" applyFont="1"/>
    <xf numFmtId="0" fontId="0" fillId="0" borderId="0" xfId="0" applyAlignment="1">
      <alignment wrapText="1"/>
    </xf>
    <xf numFmtId="0" fontId="9" fillId="2" borderId="0" xfId="1"/>
    <xf numFmtId="3" fontId="9" fillId="2" borderId="1" xfId="1" applyNumberFormat="1" applyBorder="1" applyAlignment="1">
      <alignment horizontal="right"/>
    </xf>
    <xf numFmtId="166" fontId="9" fillId="2" borderId="1" xfId="1" applyNumberFormat="1" applyBorder="1" applyAlignment="1">
      <alignment horizontal="left"/>
    </xf>
    <xf numFmtId="164" fontId="9" fillId="2" borderId="1" xfId="1" applyNumberFormat="1" applyBorder="1" applyAlignment="1">
      <alignment horizontal="left"/>
    </xf>
    <xf numFmtId="165" fontId="9" fillId="2" borderId="0" xfId="1" applyNumberFormat="1"/>
    <xf numFmtId="0" fontId="9" fillId="2" borderId="0" xfId="1" applyAlignment="1">
      <alignment wrapText="1"/>
    </xf>
    <xf numFmtId="164" fontId="8" fillId="0" borderId="1" xfId="0" applyNumberFormat="1" applyFont="1" applyBorder="1" applyAlignment="1">
      <alignment horizontal="left"/>
    </xf>
    <xf numFmtId="164" fontId="9" fillId="3" borderId="1" xfId="0" applyNumberFormat="1" applyFont="1" applyFill="1" applyBorder="1" applyAlignment="1">
      <alignment horizontal="left"/>
    </xf>
    <xf numFmtId="0" fontId="3" fillId="0" borderId="0" xfId="0" applyFont="1"/>
    <xf numFmtId="0" fontId="2" fillId="0" borderId="0" xfId="0" applyFont="1"/>
    <xf numFmtId="0" fontId="1" fillId="0" borderId="0" xfId="0" applyFont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Q18"/>
  <sheetViews>
    <sheetView tabSelected="1" topLeftCell="B1" zoomScale="142" zoomScaleNormal="140" workbookViewId="0">
      <pane xSplit="6" ySplit="1" topLeftCell="K2" activePane="bottomRight" state="frozen"/>
      <selection activeCell="B1" sqref="B1"/>
      <selection pane="topRight" activeCell="H1" sqref="H1"/>
      <selection pane="bottomLeft" activeCell="B2" sqref="B2"/>
      <selection pane="bottomRight" activeCell="M6" sqref="M6"/>
    </sheetView>
  </sheetViews>
  <sheetFormatPr baseColWidth="10" defaultColWidth="8.83203125" defaultRowHeight="15" x14ac:dyDescent="0.2"/>
  <cols>
    <col min="1" max="1" width="12.5" hidden="1" customWidth="1"/>
    <col min="2" max="2" width="3.5" style="5" customWidth="1"/>
    <col min="3" max="3" width="6.1640625" customWidth="1"/>
    <col min="4" max="4" width="15.33203125" style="6" customWidth="1"/>
    <col min="5" max="5" width="26.83203125" customWidth="1"/>
    <col min="6" max="6" width="36.6640625" customWidth="1"/>
    <col min="7" max="7" width="35.6640625" customWidth="1"/>
    <col min="8" max="8" width="61" customWidth="1"/>
    <col min="9" max="9" width="27.1640625" customWidth="1"/>
    <col min="10" max="10" width="13.1640625" style="5" bestFit="1" customWidth="1"/>
    <col min="11" max="11" width="12.5" bestFit="1" customWidth="1"/>
    <col min="12" max="12" width="31.83203125" bestFit="1" customWidth="1"/>
    <col min="13" max="13" width="16.6640625" bestFit="1" customWidth="1"/>
    <col min="14" max="15" width="77.83203125" customWidth="1"/>
    <col min="16" max="16" width="12.5" bestFit="1" customWidth="1"/>
    <col min="17" max="17" width="12.5" customWidth="1"/>
  </cols>
  <sheetData>
    <row r="1" spans="1:17" ht="19.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14</v>
      </c>
      <c r="I1" s="1" t="s">
        <v>6</v>
      </c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16</v>
      </c>
      <c r="P1" s="1" t="s">
        <v>12</v>
      </c>
      <c r="Q1" s="1" t="s">
        <v>13</v>
      </c>
    </row>
    <row r="2" spans="1:17" ht="18" customHeight="1" x14ac:dyDescent="0.2">
      <c r="B2" s="3">
        <v>1</v>
      </c>
      <c r="C2" s="8">
        <v>45771</v>
      </c>
      <c r="D2" s="4" t="str">
        <f t="shared" ref="D2:D15" si="0">IF(LEN(C2),TEXT(C2, "YYYY-MM-DD") &amp; "-" &amp; B2 &amp; ".md",)</f>
        <v>2025-04-24-1.md</v>
      </c>
      <c r="E2" s="19" t="s">
        <v>23</v>
      </c>
      <c r="F2" s="4" t="s">
        <v>23</v>
      </c>
      <c r="G2" s="4" t="s">
        <v>32</v>
      </c>
      <c r="H2" s="7" t="s">
        <v>40</v>
      </c>
      <c r="I2" t="str">
        <f>B2 &amp; ". " &amp; E2 &amp; IF(EXACT(E2,F2),,": " &amp; F2)</f>
        <v>1. Introduction</v>
      </c>
      <c r="J2" s="3">
        <f t="shared" ref="J2:J15" si="1">B2</f>
        <v>1</v>
      </c>
      <c r="K2" t="s">
        <v>81</v>
      </c>
      <c r="L2" t="str">
        <f>SUBSTITUTE(SUBSTITUTE(SUBSTITUTE(SUBSTITUTE(B2 &amp; ". " &amp; F2,".",""),"&amp;","")," ","-"),"--","-")</f>
        <v>1-Introduction</v>
      </c>
      <c r="N2" s="12" t="s">
        <v>50</v>
      </c>
      <c r="P2" t="str">
        <f t="shared" ref="P2:P15" si="2">"["&amp;B2&amp;"]"</f>
        <v>[1]</v>
      </c>
      <c r="Q2" t="str">
        <f t="shared" ref="Q2:Q15" si="3">"---
layout: post
" &amp; B$1 &amp; ": " &amp; B2 &amp; "
" &amp; P$1 &amp; ": " &amp; P2 &amp; "
level: overview
---"</f>
        <v>---
layout: post
session: 1
tags: [1]
level: overview
---</v>
      </c>
    </row>
    <row r="3" spans="1:17" s="13" customFormat="1" ht="18" customHeight="1" x14ac:dyDescent="0.2">
      <c r="B3" s="14"/>
      <c r="C3" s="15">
        <v>45778</v>
      </c>
      <c r="D3" s="16" t="s">
        <v>17</v>
      </c>
      <c r="E3" s="20" t="s">
        <v>20</v>
      </c>
      <c r="F3" s="16" t="s">
        <v>20</v>
      </c>
      <c r="G3" s="16"/>
      <c r="H3" s="17"/>
      <c r="I3" s="13" t="str">
        <f t="shared" ref="I3:I15" si="4">B3 &amp; ". " &amp; E3 &amp; IF(EXACT(E3,F3),,": " &amp; F3)</f>
        <v>. Labor Day (no class)</v>
      </c>
      <c r="J3" s="14"/>
      <c r="N3" s="18"/>
    </row>
    <row r="4" spans="1:17" ht="18" customHeight="1" x14ac:dyDescent="0.2">
      <c r="B4" s="3">
        <v>2</v>
      </c>
      <c r="C4" s="8">
        <v>45785</v>
      </c>
      <c r="D4" s="4" t="str">
        <f t="shared" si="0"/>
        <v>2025-05-08-2.md</v>
      </c>
      <c r="E4" s="19" t="s">
        <v>38</v>
      </c>
      <c r="F4" s="4" t="s">
        <v>38</v>
      </c>
      <c r="G4" t="s">
        <v>30</v>
      </c>
      <c r="H4" t="s">
        <v>41</v>
      </c>
      <c r="I4" t="str">
        <f t="shared" si="4"/>
        <v>2. How books are made</v>
      </c>
      <c r="J4" s="3">
        <f t="shared" si="1"/>
        <v>2</v>
      </c>
      <c r="K4" t="s">
        <v>71</v>
      </c>
      <c r="L4" t="str">
        <f t="shared" ref="L4:L15" si="5">SUBSTITUTE(SUBSTITUTE(SUBSTITUTE(SUBSTITUTE(B4 &amp; ". " &amp; F4,".",""),"&amp;","")," ","-"),"--","-")</f>
        <v>2-How-books-are-made</v>
      </c>
      <c r="M4" s="22" t="s">
        <v>82</v>
      </c>
      <c r="N4" t="s">
        <v>53</v>
      </c>
      <c r="O4" t="s">
        <v>61</v>
      </c>
      <c r="P4" t="str">
        <f t="shared" si="2"/>
        <v>[2]</v>
      </c>
      <c r="Q4" t="str">
        <f t="shared" si="3"/>
        <v>---
layout: post
session: 2
tags: [2]
level: overview
---</v>
      </c>
    </row>
    <row r="5" spans="1:17" ht="18" customHeight="1" x14ac:dyDescent="0.2">
      <c r="B5" s="3">
        <v>3</v>
      </c>
      <c r="C5" s="8">
        <v>45792</v>
      </c>
      <c r="D5" s="4" t="str">
        <f t="shared" si="0"/>
        <v>2025-05-15-3.md</v>
      </c>
      <c r="E5" s="19" t="s">
        <v>33</v>
      </c>
      <c r="F5" s="4" t="s">
        <v>33</v>
      </c>
      <c r="G5" t="s">
        <v>36</v>
      </c>
      <c r="H5" s="4" t="s">
        <v>42</v>
      </c>
      <c r="I5" t="str">
        <f t="shared" si="4"/>
        <v>3. Parchment as writing support</v>
      </c>
      <c r="J5" s="3">
        <f t="shared" si="1"/>
        <v>3</v>
      </c>
      <c r="K5" t="s">
        <v>73</v>
      </c>
      <c r="L5" t="str">
        <f t="shared" si="5"/>
        <v>3-Parchment-as-writing-support</v>
      </c>
      <c r="M5" s="11"/>
      <c r="N5" s="12" t="s">
        <v>56</v>
      </c>
      <c r="O5" t="s">
        <v>63</v>
      </c>
      <c r="P5" t="str">
        <f t="shared" si="2"/>
        <v>[3]</v>
      </c>
      <c r="Q5" t="str">
        <f t="shared" si="3"/>
        <v>---
layout: post
session: 3
tags: [3]
level: overview
---</v>
      </c>
    </row>
    <row r="6" spans="1:17" ht="18" customHeight="1" x14ac:dyDescent="0.2">
      <c r="B6" s="3">
        <v>4</v>
      </c>
      <c r="C6" s="8">
        <v>45799</v>
      </c>
      <c r="D6" s="4" t="str">
        <f t="shared" si="0"/>
        <v>2025-05-22-4.md</v>
      </c>
      <c r="E6" s="19" t="s">
        <v>29</v>
      </c>
      <c r="F6" s="4" t="s">
        <v>29</v>
      </c>
      <c r="H6" s="4"/>
      <c r="I6" t="str">
        <f t="shared" si="4"/>
        <v>4. Excursion</v>
      </c>
      <c r="J6" s="3">
        <f t="shared" si="1"/>
        <v>4</v>
      </c>
      <c r="K6" t="s">
        <v>72</v>
      </c>
      <c r="L6" t="str">
        <f t="shared" si="5"/>
        <v>4-Excursion</v>
      </c>
      <c r="M6" s="23" t="s">
        <v>83</v>
      </c>
      <c r="N6" t="s">
        <v>51</v>
      </c>
      <c r="O6" t="s">
        <v>62</v>
      </c>
      <c r="P6" t="str">
        <f t="shared" si="2"/>
        <v>[4]</v>
      </c>
      <c r="Q6" t="str">
        <f t="shared" si="3"/>
        <v>---
layout: post
session: 4
tags: [4]
level: overview
---</v>
      </c>
    </row>
    <row r="7" spans="1:17" s="13" customFormat="1" ht="18" customHeight="1" x14ac:dyDescent="0.2">
      <c r="B7" s="14"/>
      <c r="C7" s="15">
        <v>45806</v>
      </c>
      <c r="D7" s="16" t="s">
        <v>18</v>
      </c>
      <c r="E7" s="20" t="s">
        <v>21</v>
      </c>
      <c r="F7" s="16" t="s">
        <v>21</v>
      </c>
      <c r="H7" s="16"/>
      <c r="I7" s="13" t="str">
        <f t="shared" si="4"/>
        <v>. Ascension (no class)</v>
      </c>
      <c r="J7" s="14"/>
    </row>
    <row r="8" spans="1:17" ht="18" customHeight="1" x14ac:dyDescent="0.2">
      <c r="B8" s="3">
        <v>5</v>
      </c>
      <c r="C8" s="8">
        <v>45813</v>
      </c>
      <c r="D8" s="4" t="str">
        <f t="shared" si="0"/>
        <v>2025-06-05-5.md</v>
      </c>
      <c r="E8" s="19" t="s">
        <v>34</v>
      </c>
      <c r="F8" s="4" t="s">
        <v>34</v>
      </c>
      <c r="G8" t="s">
        <v>37</v>
      </c>
      <c r="H8" t="s">
        <v>43</v>
      </c>
      <c r="I8" t="str">
        <f t="shared" si="4"/>
        <v>5. Papyrus &amp; paper as writing support</v>
      </c>
      <c r="J8" s="3">
        <f t="shared" si="1"/>
        <v>5</v>
      </c>
      <c r="K8" t="s">
        <v>74</v>
      </c>
      <c r="L8" t="str">
        <f t="shared" si="5"/>
        <v>5-Papyrus-paper-as-writing-support</v>
      </c>
      <c r="M8" s="21" t="s">
        <v>47</v>
      </c>
      <c r="N8" s="12" t="s">
        <v>52</v>
      </c>
      <c r="O8" t="s">
        <v>64</v>
      </c>
      <c r="P8" t="str">
        <f t="shared" si="2"/>
        <v>[5]</v>
      </c>
      <c r="Q8" t="str">
        <f t="shared" si="3"/>
        <v>---
layout: post
session: 5
tags: [5]
level: overview
---</v>
      </c>
    </row>
    <row r="9" spans="1:17" ht="18" customHeight="1" x14ac:dyDescent="0.2">
      <c r="B9" s="3">
        <v>6</v>
      </c>
      <c r="C9" s="8">
        <v>45820</v>
      </c>
      <c r="D9" s="4" t="str">
        <f t="shared" si="0"/>
        <v>2025-06-12-6.md</v>
      </c>
      <c r="E9" s="19" t="s">
        <v>24</v>
      </c>
      <c r="F9" s="4" t="s">
        <v>24</v>
      </c>
      <c r="G9" t="s">
        <v>35</v>
      </c>
      <c r="H9" t="s">
        <v>46</v>
      </c>
      <c r="I9" t="str">
        <f t="shared" si="4"/>
        <v>6. Binding &amp; Layout</v>
      </c>
      <c r="J9" s="3">
        <f t="shared" si="1"/>
        <v>6</v>
      </c>
      <c r="K9" t="s">
        <v>75</v>
      </c>
      <c r="L9" t="str">
        <f t="shared" si="5"/>
        <v>6-Binding-Layout</v>
      </c>
      <c r="M9" s="22" t="s">
        <v>48</v>
      </c>
      <c r="N9" s="12" t="s">
        <v>57</v>
      </c>
      <c r="O9" t="s">
        <v>65</v>
      </c>
      <c r="P9" t="str">
        <f t="shared" si="2"/>
        <v>[6]</v>
      </c>
      <c r="Q9" t="str">
        <f t="shared" si="3"/>
        <v>---
layout: post
session: 6
tags: [6]
level: overview
---</v>
      </c>
    </row>
    <row r="10" spans="1:17" s="13" customFormat="1" ht="18" customHeight="1" x14ac:dyDescent="0.2">
      <c r="B10" s="14"/>
      <c r="C10" s="15">
        <v>45827</v>
      </c>
      <c r="D10" s="16" t="s">
        <v>19</v>
      </c>
      <c r="E10" s="20" t="s">
        <v>22</v>
      </c>
      <c r="F10" s="16" t="s">
        <v>22</v>
      </c>
      <c r="I10" s="13" t="str">
        <f t="shared" si="4"/>
        <v>. Corpus Christi (no class)</v>
      </c>
      <c r="J10" s="14"/>
    </row>
    <row r="11" spans="1:17" ht="18" customHeight="1" x14ac:dyDescent="0.2">
      <c r="B11" s="3">
        <v>7</v>
      </c>
      <c r="C11" s="8">
        <v>45834</v>
      </c>
      <c r="D11" s="4" t="str">
        <f t="shared" si="0"/>
        <v>2025-06-26-7.md</v>
      </c>
      <c r="E11" s="19" t="s">
        <v>29</v>
      </c>
      <c r="F11" s="4" t="s">
        <v>29</v>
      </c>
      <c r="I11" t="str">
        <f t="shared" si="4"/>
        <v>7. Excursion</v>
      </c>
      <c r="J11" s="3">
        <f t="shared" si="1"/>
        <v>7</v>
      </c>
      <c r="K11" t="s">
        <v>76</v>
      </c>
      <c r="L11" t="str">
        <f t="shared" si="5"/>
        <v>7-Excursion</v>
      </c>
      <c r="M11" s="11"/>
      <c r="N11" t="s">
        <v>54</v>
      </c>
      <c r="O11" t="s">
        <v>66</v>
      </c>
      <c r="P11" t="str">
        <f t="shared" si="2"/>
        <v>[7]</v>
      </c>
      <c r="Q11" t="str">
        <f t="shared" si="3"/>
        <v>---
layout: post
session: 7
tags: [7]
level: overview
---</v>
      </c>
    </row>
    <row r="12" spans="1:17" ht="18" customHeight="1" x14ac:dyDescent="0.2">
      <c r="B12" s="3">
        <v>8</v>
      </c>
      <c r="C12" s="8">
        <v>45841</v>
      </c>
      <c r="D12" s="4" t="str">
        <f t="shared" si="0"/>
        <v>2025-07-03-8.md</v>
      </c>
      <c r="E12" s="19" t="s">
        <v>25</v>
      </c>
      <c r="F12" s="4" t="s">
        <v>25</v>
      </c>
      <c r="G12" t="s">
        <v>39</v>
      </c>
      <c r="H12" t="s">
        <v>44</v>
      </c>
      <c r="I12" t="str">
        <f t="shared" si="4"/>
        <v>8. Inks &amp; Utensils</v>
      </c>
      <c r="J12" s="3">
        <f t="shared" si="1"/>
        <v>8</v>
      </c>
      <c r="K12" t="s">
        <v>77</v>
      </c>
      <c r="L12" t="str">
        <f t="shared" si="5"/>
        <v>8-Inks-Utensils</v>
      </c>
      <c r="M12" s="21" t="s">
        <v>49</v>
      </c>
      <c r="N12" t="s">
        <v>55</v>
      </c>
      <c r="O12" t="s">
        <v>67</v>
      </c>
      <c r="P12" t="str">
        <f t="shared" si="2"/>
        <v>[8]</v>
      </c>
      <c r="Q12" t="str">
        <f t="shared" si="3"/>
        <v>---
layout: post
session: 8
tags: [8]
level: overview
---</v>
      </c>
    </row>
    <row r="13" spans="1:17" ht="18" customHeight="1" x14ac:dyDescent="0.2">
      <c r="B13" s="3">
        <v>9</v>
      </c>
      <c r="C13" s="8">
        <v>45848</v>
      </c>
      <c r="D13" s="4" t="str">
        <f t="shared" si="0"/>
        <v>2025-07-10-9.md</v>
      </c>
      <c r="E13" s="19" t="s">
        <v>26</v>
      </c>
      <c r="F13" s="4" t="s">
        <v>26</v>
      </c>
      <c r="G13" t="s">
        <v>31</v>
      </c>
      <c r="H13" t="s">
        <v>45</v>
      </c>
      <c r="I13" t="str">
        <f t="shared" si="4"/>
        <v>9. Paratexts</v>
      </c>
      <c r="J13" s="3">
        <f t="shared" si="1"/>
        <v>9</v>
      </c>
      <c r="K13" t="s">
        <v>78</v>
      </c>
      <c r="L13" t="str">
        <f t="shared" si="5"/>
        <v>9-Paratexts</v>
      </c>
      <c r="M13" s="21"/>
      <c r="N13" t="s">
        <v>58</v>
      </c>
      <c r="O13" t="s">
        <v>68</v>
      </c>
      <c r="P13" t="str">
        <f t="shared" si="2"/>
        <v>[9]</v>
      </c>
      <c r="Q13" t="str">
        <f t="shared" si="3"/>
        <v>---
layout: post
session: 9
tags: [9]
level: overview
---</v>
      </c>
    </row>
    <row r="14" spans="1:17" ht="18" customHeight="1" x14ac:dyDescent="0.2">
      <c r="B14" s="3">
        <v>10</v>
      </c>
      <c r="C14" s="8">
        <v>45855</v>
      </c>
      <c r="D14" s="4" t="str">
        <f t="shared" si="0"/>
        <v>2025-07-17-10.md</v>
      </c>
      <c r="E14" s="19" t="s">
        <v>27</v>
      </c>
      <c r="F14" s="4" t="s">
        <v>27</v>
      </c>
      <c r="I14" t="str">
        <f t="shared" si="4"/>
        <v>10. Presentations</v>
      </c>
      <c r="J14" s="3">
        <f t="shared" si="1"/>
        <v>10</v>
      </c>
      <c r="K14" s="10" t="s">
        <v>79</v>
      </c>
      <c r="L14" t="str">
        <f t="shared" si="5"/>
        <v>10-Presentations</v>
      </c>
      <c r="M14" s="11"/>
      <c r="N14" t="s">
        <v>60</v>
      </c>
      <c r="O14" t="s">
        <v>69</v>
      </c>
      <c r="P14" t="str">
        <f t="shared" si="2"/>
        <v>[10]</v>
      </c>
      <c r="Q14" t="str">
        <f t="shared" si="3"/>
        <v>---
layout: post
session: 10
tags: [10]
level: overview
---</v>
      </c>
    </row>
    <row r="15" spans="1:17" ht="18" customHeight="1" x14ac:dyDescent="0.2">
      <c r="B15" s="3">
        <v>11</v>
      </c>
      <c r="C15" s="8">
        <v>45862</v>
      </c>
      <c r="D15" s="4" t="str">
        <f t="shared" si="0"/>
        <v>2025-07-24-11.md</v>
      </c>
      <c r="E15" s="19" t="s">
        <v>28</v>
      </c>
      <c r="F15" s="4" t="s">
        <v>28</v>
      </c>
      <c r="I15" t="str">
        <f t="shared" si="4"/>
        <v>11. Review</v>
      </c>
      <c r="J15" s="3">
        <f t="shared" si="1"/>
        <v>11</v>
      </c>
      <c r="K15" t="s">
        <v>80</v>
      </c>
      <c r="L15" t="str">
        <f t="shared" si="5"/>
        <v>11-Review</v>
      </c>
      <c r="M15" s="9"/>
      <c r="N15" t="s">
        <v>59</v>
      </c>
      <c r="O15" t="s">
        <v>70</v>
      </c>
      <c r="P15" t="str">
        <f t="shared" si="2"/>
        <v>[11]</v>
      </c>
      <c r="Q15" t="str">
        <f t="shared" si="3"/>
        <v>---
layout: post
session: 11
tags: [11]
level: overview
---</v>
      </c>
    </row>
    <row r="16" spans="1:17" x14ac:dyDescent="0.2">
      <c r="E16" s="4"/>
    </row>
    <row r="17" spans="5:14" x14ac:dyDescent="0.2">
      <c r="E17" s="4"/>
    </row>
    <row r="18" spans="5:14" x14ac:dyDescent="0.2">
      <c r="E18" s="19"/>
      <c r="F18" s="4"/>
      <c r="N18" s="12"/>
    </row>
  </sheetData>
  <pageMargins left="0.7" right="0.7" top="0.75" bottom="0.75" header="0.3" footer="0.3"/>
  <pageSetup paperSize="9" scale="2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Gibson</cp:lastModifiedBy>
  <cp:lastPrinted>2024-04-18T12:58:24Z</cp:lastPrinted>
  <dcterms:created xsi:type="dcterms:W3CDTF">2023-10-09T09:26:31Z</dcterms:created>
  <dcterms:modified xsi:type="dcterms:W3CDTF">2025-05-09T09:19:24Z</dcterms:modified>
</cp:coreProperties>
</file>